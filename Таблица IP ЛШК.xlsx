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008.2.23ИСиТвО\KKS\Шеремета Леонид (Настоящий)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B19" i="1"/>
  <c r="D19" i="1"/>
  <c r="A19" i="1"/>
  <c r="M15" i="1"/>
  <c r="J15" i="1"/>
  <c r="B15" i="1"/>
  <c r="C15" i="1"/>
  <c r="D15" i="1"/>
  <c r="A15" i="1"/>
  <c r="L12" i="1"/>
  <c r="B11" i="1"/>
  <c r="C11" i="1"/>
  <c r="D11" i="1"/>
  <c r="A11" i="1"/>
  <c r="A4" i="1"/>
  <c r="B4" i="1"/>
  <c r="C4" i="1"/>
  <c r="D4" i="1"/>
  <c r="B3" i="1"/>
  <c r="C3" i="1"/>
  <c r="D3" i="1"/>
  <c r="A3" i="1"/>
</calcChain>
</file>

<file path=xl/sharedStrings.xml><?xml version="1.0" encoding="utf-8"?>
<sst xmlns="http://schemas.openxmlformats.org/spreadsheetml/2006/main" count="27" uniqueCount="25">
  <si>
    <t>IP</t>
  </si>
  <si>
    <t>Маска подсети (subnet mask)</t>
  </si>
  <si>
    <t>Резуль-т побитового премнож. Ip на маску</t>
  </si>
  <si>
    <t>Адерс подсети</t>
  </si>
  <si>
    <t>Адрес PC в подсети</t>
  </si>
  <si>
    <t>Обратная маска</t>
  </si>
  <si>
    <t>Сети класса А</t>
  </si>
  <si>
    <t>Стар. Бит стар. Байта класса А = 0</t>
  </si>
  <si>
    <t>128 сетей</t>
  </si>
  <si>
    <t>Сети класса B</t>
  </si>
  <si>
    <t>2 Стар. Бита стар. Байта класса B = 10</t>
  </si>
  <si>
    <t>сетей</t>
  </si>
  <si>
    <t>/</t>
  </si>
  <si>
    <t xml:space="preserve"> PCs</t>
  </si>
  <si>
    <t>3 Стар. Бита стар. Байта = 110</t>
  </si>
  <si>
    <t>Сети класса С</t>
  </si>
  <si>
    <t>Адреса Класса B</t>
  </si>
  <si>
    <t>Кол-во адресов для 255.255.255.128</t>
  </si>
  <si>
    <t>Кол-во адресов для 255.255.255.192</t>
  </si>
  <si>
    <t>Кол-во адресов для 255.255.255.224</t>
  </si>
  <si>
    <t>Кол-во адресов для 255.255.255.240</t>
  </si>
  <si>
    <t>Кол-во адресов для 255.255.255.248</t>
  </si>
  <si>
    <t>Кол-во адресов для 255.255.255.252</t>
  </si>
  <si>
    <t>Кол-во адресов для 255.255.255.254</t>
  </si>
  <si>
    <t>255.255.255.255 - испол. Для присвоения ui индетиф. IP адреса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</si>
</sst>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115" zoomScaleNormal="115" workbookViewId="0">
      <selection activeCell="E30" sqref="E30"/>
    </sheetView>
  </sheetViews>
  <sheetFormatPr defaultRowHeight="15" x14ac:dyDescent="0.25"/>
  <cols>
    <col min="1" max="4" width="10.140625" bestFit="1" customWidth="1"/>
  </cols>
  <sheetData>
    <row r="1" spans="1:14" x14ac:dyDescent="0.25">
      <c r="A1" s="1">
        <v>192</v>
      </c>
      <c r="B1" s="1">
        <v>168</v>
      </c>
      <c r="C1" s="1">
        <v>1</v>
      </c>
      <c r="D1" s="1">
        <v>12</v>
      </c>
      <c r="E1" t="s">
        <v>0</v>
      </c>
    </row>
    <row r="2" spans="1:14" x14ac:dyDescent="0.25">
      <c r="A2" s="1">
        <v>255</v>
      </c>
      <c r="B2" s="1">
        <v>255</v>
      </c>
      <c r="C2" s="1">
        <v>255</v>
      </c>
      <c r="D2" s="1">
        <v>0</v>
      </c>
      <c r="E2" t="s">
        <v>1</v>
      </c>
    </row>
    <row r="3" spans="1:14" x14ac:dyDescent="0.25">
      <c r="A3" s="1" t="str">
        <f>DEC2BIN(A1,8)</f>
        <v>11000000</v>
      </c>
      <c r="B3" s="1" t="str">
        <f t="shared" ref="B3:D5" si="0">DEC2BIN(B1,8)</f>
        <v>10101000</v>
      </c>
      <c r="C3" s="1" t="str">
        <f t="shared" si="0"/>
        <v>00000001</v>
      </c>
      <c r="D3" s="1" t="str">
        <f t="shared" si="0"/>
        <v>00001100</v>
      </c>
    </row>
    <row r="4" spans="1:14" x14ac:dyDescent="0.25">
      <c r="A4" s="1" t="str">
        <f>DEC2BIN(A2,8)</f>
        <v>11111111</v>
      </c>
      <c r="B4" s="1" t="str">
        <f t="shared" si="0"/>
        <v>11111111</v>
      </c>
      <c r="C4" s="1" t="str">
        <f t="shared" si="0"/>
        <v>11111111</v>
      </c>
      <c r="D4" s="1" t="str">
        <f t="shared" si="0"/>
        <v>00000000</v>
      </c>
    </row>
    <row r="5" spans="1:14" x14ac:dyDescent="0.25">
      <c r="A5" s="1">
        <v>11000000</v>
      </c>
      <c r="B5" s="1">
        <v>10100000</v>
      </c>
      <c r="C5" s="1">
        <v>1</v>
      </c>
      <c r="D5" s="1">
        <v>0</v>
      </c>
      <c r="E5" t="s">
        <v>2</v>
      </c>
    </row>
    <row r="6" spans="1:14" x14ac:dyDescent="0.25">
      <c r="A6" s="1">
        <v>192</v>
      </c>
      <c r="B6" s="1">
        <v>168</v>
      </c>
      <c r="C6" s="1">
        <v>1</v>
      </c>
      <c r="D6" s="1">
        <v>0</v>
      </c>
      <c r="E6" t="s">
        <v>3</v>
      </c>
    </row>
    <row r="7" spans="1:14" x14ac:dyDescent="0.25">
      <c r="A7" s="1">
        <v>0</v>
      </c>
      <c r="B7" s="1">
        <v>0</v>
      </c>
      <c r="C7" s="1">
        <v>0</v>
      </c>
      <c r="D7" s="1">
        <v>12</v>
      </c>
      <c r="E7" t="s">
        <v>4</v>
      </c>
    </row>
    <row r="8" spans="1:14" x14ac:dyDescent="0.25">
      <c r="A8" s="1">
        <v>0</v>
      </c>
      <c r="B8" s="1">
        <v>0</v>
      </c>
      <c r="C8" s="1">
        <v>0</v>
      </c>
      <c r="D8" s="1">
        <v>11111111</v>
      </c>
      <c r="E8" t="s">
        <v>5</v>
      </c>
    </row>
    <row r="9" spans="1:14" x14ac:dyDescent="0.25">
      <c r="A9" s="3">
        <v>10</v>
      </c>
      <c r="B9" s="3">
        <v>10</v>
      </c>
      <c r="C9" s="1">
        <v>10</v>
      </c>
      <c r="D9" s="1">
        <v>12</v>
      </c>
    </row>
    <row r="10" spans="1:14" x14ac:dyDescent="0.25">
      <c r="A10" s="3"/>
      <c r="B10" s="3"/>
      <c r="C10" s="1"/>
      <c r="D10" s="1"/>
    </row>
    <row r="11" spans="1:14" x14ac:dyDescent="0.25">
      <c r="A11" s="3" t="str">
        <f>DEC2BIN(A9,8)</f>
        <v>00001010</v>
      </c>
      <c r="B11" s="3" t="str">
        <f>DEC2BIN(B9,8)</f>
        <v>00001010</v>
      </c>
      <c r="C11" s="1" t="str">
        <f>DEC2BIN(C9,8)</f>
        <v>00001010</v>
      </c>
      <c r="D11" s="1" t="str">
        <f>DEC2BIN(D9,8)</f>
        <v>00001100</v>
      </c>
      <c r="E11" t="s">
        <v>7</v>
      </c>
    </row>
    <row r="12" spans="1:14" x14ac:dyDescent="0.25">
      <c r="A12" s="1">
        <v>255</v>
      </c>
      <c r="B12" s="1">
        <v>0</v>
      </c>
      <c r="C12" s="1">
        <v>0</v>
      </c>
      <c r="D12" s="1">
        <v>0</v>
      </c>
      <c r="E12" t="s">
        <v>6</v>
      </c>
      <c r="J12" t="s">
        <v>8</v>
      </c>
      <c r="K12" s="4" t="s">
        <v>12</v>
      </c>
      <c r="L12">
        <f>2^24</f>
        <v>16777216</v>
      </c>
      <c r="M12" t="s">
        <v>13</v>
      </c>
    </row>
    <row r="13" spans="1:14" x14ac:dyDescent="0.25">
      <c r="A13" s="2">
        <v>172</v>
      </c>
      <c r="B13" s="2">
        <v>16</v>
      </c>
      <c r="C13" s="1">
        <v>7</v>
      </c>
      <c r="D13" s="1">
        <v>85</v>
      </c>
      <c r="E13" t="s">
        <v>16</v>
      </c>
    </row>
    <row r="14" spans="1:14" x14ac:dyDescent="0.25">
      <c r="A14" s="2"/>
      <c r="B14" s="2"/>
      <c r="C14" s="1"/>
      <c r="D14" s="1"/>
    </row>
    <row r="15" spans="1:14" x14ac:dyDescent="0.25">
      <c r="A15" s="2" t="str">
        <f>DEC2BIN(A13,8)</f>
        <v>10101100</v>
      </c>
      <c r="B15" s="2" t="str">
        <f>DEC2BIN(B13,8)</f>
        <v>00010000</v>
      </c>
      <c r="C15" s="1" t="str">
        <f>DEC2BIN(C13,8)</f>
        <v>00000111</v>
      </c>
      <c r="D15" s="1" t="str">
        <f>DEC2BIN(D13,8)</f>
        <v>01010101</v>
      </c>
      <c r="E15" t="s">
        <v>10</v>
      </c>
      <c r="J15">
        <f>2^14</f>
        <v>16384</v>
      </c>
      <c r="K15" t="s">
        <v>11</v>
      </c>
      <c r="L15" s="4" t="s">
        <v>12</v>
      </c>
      <c r="M15" s="5">
        <f>2^16</f>
        <v>65536</v>
      </c>
      <c r="N15" t="s">
        <v>13</v>
      </c>
    </row>
    <row r="16" spans="1:14" x14ac:dyDescent="0.25">
      <c r="A16" s="1">
        <v>255</v>
      </c>
      <c r="B16" s="1">
        <v>255</v>
      </c>
      <c r="C16" s="1">
        <v>0</v>
      </c>
      <c r="D16" s="1">
        <v>0</v>
      </c>
      <c r="E16" t="s">
        <v>9</v>
      </c>
    </row>
    <row r="17" spans="1:10" x14ac:dyDescent="0.25">
      <c r="A17" s="2">
        <v>192</v>
      </c>
      <c r="B17" s="2">
        <v>168</v>
      </c>
      <c r="C17" s="2">
        <v>1</v>
      </c>
      <c r="D17" s="1">
        <v>35</v>
      </c>
    </row>
    <row r="18" spans="1:10" x14ac:dyDescent="0.25">
      <c r="A18" s="1"/>
      <c r="B18" s="1"/>
      <c r="C18" s="1"/>
      <c r="D18" s="1"/>
    </row>
    <row r="19" spans="1:10" x14ac:dyDescent="0.25">
      <c r="A19" s="2" t="str">
        <f>DEC2BIN(A17,8)</f>
        <v>11000000</v>
      </c>
      <c r="B19" s="2" t="str">
        <f t="shared" ref="B19:D19" si="1">DEC2BIN(B17,8)</f>
        <v>10101000</v>
      </c>
      <c r="C19" s="2" t="str">
        <f t="shared" si="1"/>
        <v>00000001</v>
      </c>
      <c r="D19" s="1" t="str">
        <f t="shared" si="1"/>
        <v>00100011</v>
      </c>
      <c r="E19" t="s">
        <v>14</v>
      </c>
    </row>
    <row r="20" spans="1:10" x14ac:dyDescent="0.25">
      <c r="A20" s="1">
        <v>255</v>
      </c>
      <c r="B20" s="1">
        <v>255</v>
      </c>
      <c r="C20" s="1">
        <v>255</v>
      </c>
      <c r="D20" s="1">
        <v>0</v>
      </c>
      <c r="E20" t="s">
        <v>15</v>
      </c>
    </row>
    <row r="22" spans="1:10" x14ac:dyDescent="0.25">
      <c r="D22">
        <v>128</v>
      </c>
      <c r="E22" t="s">
        <v>17</v>
      </c>
      <c r="J22">
        <v>126</v>
      </c>
    </row>
    <row r="23" spans="1:10" x14ac:dyDescent="0.25">
      <c r="D23">
        <v>64</v>
      </c>
      <c r="E23" t="s">
        <v>18</v>
      </c>
      <c r="J23">
        <v>64</v>
      </c>
    </row>
    <row r="24" spans="1:10" x14ac:dyDescent="0.25">
      <c r="D24">
        <v>32</v>
      </c>
      <c r="E24" t="s">
        <v>19</v>
      </c>
      <c r="J24">
        <v>30</v>
      </c>
    </row>
    <row r="25" spans="1:10" x14ac:dyDescent="0.25">
      <c r="D25">
        <v>16</v>
      </c>
      <c r="E25" t="s">
        <v>20</v>
      </c>
      <c r="J25">
        <v>14</v>
      </c>
    </row>
    <row r="26" spans="1:10" x14ac:dyDescent="0.25">
      <c r="D26">
        <v>8</v>
      </c>
      <c r="E26" t="s">
        <v>21</v>
      </c>
      <c r="J26">
        <v>6</v>
      </c>
    </row>
    <row r="27" spans="1:10" x14ac:dyDescent="0.25">
      <c r="D27">
        <v>4</v>
      </c>
      <c r="E27" t="s">
        <v>22</v>
      </c>
      <c r="J27">
        <v>2</v>
      </c>
    </row>
    <row r="28" spans="1:10" x14ac:dyDescent="0.25">
      <c r="D28">
        <v>2</v>
      </c>
      <c r="E28" t="s">
        <v>23</v>
      </c>
      <c r="J28">
        <v>0</v>
      </c>
    </row>
    <row r="29" spans="1:10" x14ac:dyDescent="0.25">
      <c r="E29" t="s">
        <v>24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2025-09-26T05:19:54Z</dcterms:created>
  <dcterms:modified xsi:type="dcterms:W3CDTF">2025-09-26T06:01:07Z</dcterms:modified>
</cp:coreProperties>
</file>